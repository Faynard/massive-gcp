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urrence" sheetId="1" state="visible" r:id="rId1"/>
    <sheet name="Fanout" sheetId="2" state="visible" r:id="rId2"/>
    <sheet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999999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b val="1"/>
      <color rgb="00CC66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858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858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" customWidth="1" min="3" max="3"/>
    <col width="8" customWidth="1" min="4" max="4"/>
    <col width="14" customWidth="1" min="5" max="5"/>
    <col width="42" customWidth="1" min="6" max="6"/>
  </cols>
  <sheetData>
    <row r="1" ht="22" customHeight="1">
      <c r="A1" s="1" t="inlineStr">
        <is>
          <t>Expérience 1 – Passage à l'échelle sur la concurrence</t>
        </is>
      </c>
    </row>
    <row r="2" ht="16" customHeight="1">
      <c r="A2" s="2" t="inlineStr">
        <is>
          <t>1 000 utilisateurs · 50 posts/user · 20 followers · 3 runs par niveau</t>
        </is>
      </c>
    </row>
    <row r="3" ht="8" customHeight="1"/>
    <row r="4" ht="18" customHeight="1">
      <c r="A4" s="3" t="inlineStr">
        <is>
          <t>Users simultanés</t>
        </is>
      </c>
      <c r="B4" s="3" t="inlineStr">
        <is>
          <t>Temps moyen (ms)</t>
        </is>
      </c>
      <c r="C4" s="3" t="inlineStr">
        <is>
          <t>Run</t>
        </is>
      </c>
      <c r="D4" s="3" t="inlineStr">
        <is>
          <t>Échecs</t>
        </is>
      </c>
      <c r="E4" s="3" t="inlineStr">
        <is>
          <t>NB instances</t>
        </is>
      </c>
      <c r="F4" s="3" t="inlineStr">
        <is>
          <t>Note</t>
        </is>
      </c>
    </row>
    <row r="5" ht="16" customHeight="1">
      <c r="A5" s="4" t="n">
        <v>1</v>
      </c>
      <c r="B5" s="5" t="n">
        <v>187</v>
      </c>
      <c r="C5" s="4" t="n">
        <v>1</v>
      </c>
      <c r="D5" s="4" t="n">
        <v>0</v>
      </c>
      <c r="E5" s="6" t="inlineStr">
        <is>
          <t>N/A</t>
        </is>
      </c>
      <c r="F5" s="7" t="inlineStr">
        <is>
          <t>Non capturé (gcloud hors PATH lors du run)</t>
        </is>
      </c>
    </row>
    <row r="6" ht="16" customHeight="1">
      <c r="A6" s="4" t="n">
        <v>1</v>
      </c>
      <c r="B6" s="5" t="n">
        <v>170.3</v>
      </c>
      <c r="C6" s="4" t="n">
        <v>2</v>
      </c>
      <c r="D6" s="4" t="n">
        <v>0</v>
      </c>
      <c r="E6" s="6" t="inlineStr">
        <is>
          <t>N/A</t>
        </is>
      </c>
      <c r="F6" s="7" t="inlineStr">
        <is>
          <t>Non capturé (gcloud hors PATH lors du run)</t>
        </is>
      </c>
    </row>
    <row r="7" ht="16" customHeight="1">
      <c r="A7" s="4" t="n">
        <v>1</v>
      </c>
      <c r="B7" s="5" t="n">
        <v>230.7</v>
      </c>
      <c r="C7" s="4" t="n">
        <v>3</v>
      </c>
      <c r="D7" s="4" t="n">
        <v>0</v>
      </c>
      <c r="E7" s="6" t="inlineStr">
        <is>
          <t>N/A</t>
        </is>
      </c>
      <c r="F7" s="7" t="inlineStr">
        <is>
          <t>Non capturé (gcloud hors PATH lors du run)</t>
        </is>
      </c>
    </row>
    <row r="8" ht="16" customHeight="1">
      <c r="A8" s="4" t="n">
        <v>10</v>
      </c>
      <c r="B8" s="5" t="n">
        <v>378</v>
      </c>
      <c r="C8" s="4" t="n">
        <v>1</v>
      </c>
      <c r="D8" s="4" t="n">
        <v>0</v>
      </c>
      <c r="E8" s="6" t="inlineStr">
        <is>
          <t>N/A</t>
        </is>
      </c>
      <c r="F8" s="7" t="inlineStr">
        <is>
          <t>Non capturé (gcloud hors PATH lors du run)</t>
        </is>
      </c>
    </row>
    <row r="9" ht="16" customHeight="1">
      <c r="A9" s="4" t="n">
        <v>10</v>
      </c>
      <c r="B9" s="5" t="n">
        <v>538</v>
      </c>
      <c r="C9" s="4" t="n">
        <v>2</v>
      </c>
      <c r="D9" s="4" t="n">
        <v>0</v>
      </c>
      <c r="E9" s="6" t="inlineStr">
        <is>
          <t>N/A</t>
        </is>
      </c>
      <c r="F9" s="7" t="inlineStr">
        <is>
          <t>Non capturé (gcloud hors PATH lors du run)</t>
        </is>
      </c>
    </row>
    <row r="10" ht="16" customHeight="1">
      <c r="A10" s="4" t="n">
        <v>10</v>
      </c>
      <c r="B10" s="5" t="n">
        <v>186.1</v>
      </c>
      <c r="C10" s="4" t="n">
        <v>3</v>
      </c>
      <c r="D10" s="4" t="n">
        <v>0</v>
      </c>
      <c r="E10" s="6" t="inlineStr">
        <is>
          <t>N/A</t>
        </is>
      </c>
      <c r="F10" s="7" t="inlineStr">
        <is>
          <t>Non capturé (gcloud hors PATH lors du run)</t>
        </is>
      </c>
    </row>
    <row r="11" ht="16" customHeight="1">
      <c r="A11" s="4" t="n">
        <v>20</v>
      </c>
      <c r="B11" s="5" t="n">
        <v>83.8</v>
      </c>
      <c r="C11" s="4" t="n">
        <v>1</v>
      </c>
      <c r="D11" s="4" t="n">
        <v>0</v>
      </c>
      <c r="E11" s="6" t="inlineStr">
        <is>
          <t>N/A</t>
        </is>
      </c>
      <c r="F11" s="7" t="inlineStr">
        <is>
          <t>Non capturé (gcloud hors PATH lors du run)</t>
        </is>
      </c>
    </row>
    <row r="12" ht="16" customHeight="1">
      <c r="A12" s="4" t="n">
        <v>20</v>
      </c>
      <c r="B12" s="5" t="n">
        <v>82</v>
      </c>
      <c r="C12" s="4" t="n">
        <v>2</v>
      </c>
      <c r="D12" s="4" t="n">
        <v>0</v>
      </c>
      <c r="E12" s="6" t="inlineStr">
        <is>
          <t>N/A</t>
        </is>
      </c>
      <c r="F12" s="7" t="inlineStr">
        <is>
          <t>Non capturé (gcloud hors PATH lors du run)</t>
        </is>
      </c>
    </row>
    <row r="13" ht="16" customHeight="1">
      <c r="A13" s="4" t="n">
        <v>20</v>
      </c>
      <c r="B13" s="5" t="n">
        <v>86</v>
      </c>
      <c r="C13" s="4" t="n">
        <v>3</v>
      </c>
      <c r="D13" s="4" t="n">
        <v>0</v>
      </c>
      <c r="E13" s="6" t="inlineStr">
        <is>
          <t>N/A</t>
        </is>
      </c>
      <c r="F13" s="7" t="inlineStr">
        <is>
          <t>Non capturé (gcloud hors PATH lors du run)</t>
        </is>
      </c>
    </row>
    <row r="14" ht="16" customHeight="1">
      <c r="A14" s="4" t="n">
        <v>50</v>
      </c>
      <c r="B14" s="5" t="n">
        <v>284.8</v>
      </c>
      <c r="C14" s="4" t="n">
        <v>1</v>
      </c>
      <c r="D14" s="4" t="n">
        <v>0</v>
      </c>
      <c r="E14" s="6" t="inlineStr">
        <is>
          <t>N/A</t>
        </is>
      </c>
      <c r="F14" s="7" t="inlineStr">
        <is>
          <t>Non capturé (gcloud hors PATH lors du run)</t>
        </is>
      </c>
    </row>
    <row r="15" ht="16" customHeight="1">
      <c r="A15" s="4" t="n">
        <v>50</v>
      </c>
      <c r="B15" s="5" t="n">
        <v>290.6</v>
      </c>
      <c r="C15" s="4" t="n">
        <v>2</v>
      </c>
      <c r="D15" s="4" t="n">
        <v>0</v>
      </c>
      <c r="E15" s="6" t="inlineStr">
        <is>
          <t>N/A</t>
        </is>
      </c>
      <c r="F15" s="7" t="inlineStr">
        <is>
          <t>Non capturé (gcloud hors PATH lors du run)</t>
        </is>
      </c>
    </row>
    <row r="16" ht="16" customHeight="1">
      <c r="A16" s="4" t="n">
        <v>50</v>
      </c>
      <c r="B16" s="5" t="n">
        <v>124.4</v>
      </c>
      <c r="C16" s="4" t="n">
        <v>3</v>
      </c>
      <c r="D16" s="4" t="n">
        <v>0</v>
      </c>
      <c r="E16" s="6" t="inlineStr">
        <is>
          <t>N/A</t>
        </is>
      </c>
      <c r="F16" s="7" t="inlineStr">
        <is>
          <t>Non capturé (gcloud hors PATH lors du run)</t>
        </is>
      </c>
    </row>
    <row r="17" ht="16" customHeight="1">
      <c r="A17" s="4" t="n">
        <v>100</v>
      </c>
      <c r="B17" s="5" t="n">
        <v>144.6</v>
      </c>
      <c r="C17" s="4" t="n">
        <v>1</v>
      </c>
      <c r="D17" s="4" t="n">
        <v>0</v>
      </c>
      <c r="E17" s="6" t="inlineStr">
        <is>
          <t>N/A</t>
        </is>
      </c>
      <c r="F17" s="7" t="inlineStr">
        <is>
          <t>Non capturé (gcloud hors PATH lors du run)</t>
        </is>
      </c>
    </row>
    <row r="18" ht="16" customHeight="1">
      <c r="A18" s="4" t="n">
        <v>100</v>
      </c>
      <c r="B18" s="5" t="n">
        <v>114.3</v>
      </c>
      <c r="C18" s="4" t="n">
        <v>2</v>
      </c>
      <c r="D18" s="4" t="n">
        <v>0</v>
      </c>
      <c r="E18" s="6" t="inlineStr">
        <is>
          <t>N/A</t>
        </is>
      </c>
      <c r="F18" s="7" t="inlineStr">
        <is>
          <t>Non capturé (gcloud hors PATH lors du run)</t>
        </is>
      </c>
    </row>
    <row r="19" ht="16" customHeight="1">
      <c r="A19" s="4" t="n">
        <v>100</v>
      </c>
      <c r="B19" s="5" t="n">
        <v>95.40000000000001</v>
      </c>
      <c r="C19" s="4" t="n">
        <v>3</v>
      </c>
      <c r="D19" s="4" t="n">
        <v>0</v>
      </c>
      <c r="E19" s="6" t="inlineStr">
        <is>
          <t>N/A</t>
        </is>
      </c>
      <c r="F19" s="7" t="inlineStr">
        <is>
          <t>Non capturé (gcloud hors PATH lors du run)</t>
        </is>
      </c>
    </row>
    <row r="20" ht="16" customHeight="1">
      <c r="A20" s="4" t="n">
        <v>1000</v>
      </c>
      <c r="B20" s="5" t="n">
        <v>1260.2</v>
      </c>
      <c r="C20" s="4" t="n">
        <v>1</v>
      </c>
      <c r="D20" s="4" t="n">
        <v>0</v>
      </c>
      <c r="E20" s="6" t="inlineStr">
        <is>
          <t>N/A</t>
        </is>
      </c>
      <c r="F20" s="7" t="inlineStr">
        <is>
          <t>Non capturé (gcloud hors PATH lors du run)</t>
        </is>
      </c>
    </row>
    <row r="21" ht="16" customHeight="1">
      <c r="A21" s="4" t="n">
        <v>1000</v>
      </c>
      <c r="B21" s="5" t="n">
        <v>1857.1</v>
      </c>
      <c r="C21" s="4" t="n">
        <v>2</v>
      </c>
      <c r="D21" s="4" t="n">
        <v>0</v>
      </c>
      <c r="E21" s="6" t="inlineStr">
        <is>
          <t>N/A</t>
        </is>
      </c>
      <c r="F21" s="7" t="inlineStr">
        <is>
          <t>Non capturé (gcloud hors PATH lors du run)</t>
        </is>
      </c>
    </row>
    <row r="22" ht="16" customHeight="1">
      <c r="A22" s="4" t="n">
        <v>1000</v>
      </c>
      <c r="B22" s="5" t="n">
        <v>1592.1</v>
      </c>
      <c r="C22" s="4" t="n">
        <v>3</v>
      </c>
      <c r="D22" s="4" t="n">
        <v>0</v>
      </c>
      <c r="E22" s="6" t="inlineStr">
        <is>
          <t>N/A</t>
        </is>
      </c>
      <c r="F22" s="7" t="inlineStr">
        <is>
          <t>Non capturé (gcloud hors PATH lors du run)</t>
        </is>
      </c>
    </row>
    <row r="24" ht="20" customHeight="1">
      <c r="A24" s="8" t="inlineStr">
        <is>
          <t>Moyennes par niveau de concurrence</t>
        </is>
      </c>
    </row>
    <row r="25">
      <c r="A25" s="3" t="inlineStr">
        <is>
          <t>Users simultanés</t>
        </is>
      </c>
      <c r="B25" s="3" t="inlineStr">
        <is>
          <t>Moy. (ms)</t>
        </is>
      </c>
      <c r="C25" s="3" t="inlineStr">
        <is>
          <t>Min (ms)</t>
        </is>
      </c>
      <c r="D25" s="3" t="inlineStr">
        <is>
          <t>Max (ms)</t>
        </is>
      </c>
      <c r="E25" s="3" t="inlineStr">
        <is>
          <t>Écart-type (ms)</t>
        </is>
      </c>
    </row>
    <row r="26">
      <c r="A26" s="9" t="n">
        <v>1</v>
      </c>
      <c r="B26" s="10">
        <f>AVERAGE(B5:B7)</f>
        <v/>
      </c>
      <c r="C26" s="10">
        <f>MIN(B5:B7)</f>
        <v/>
      </c>
      <c r="D26" s="10">
        <f>MAX(B5:B7)</f>
        <v/>
      </c>
      <c r="E26" s="10">
        <f>STDEV(B5:B7)</f>
        <v/>
      </c>
    </row>
    <row r="27">
      <c r="A27" s="9" t="n">
        <v>10</v>
      </c>
      <c r="B27" s="10">
        <f>AVERAGE(B8:B10)</f>
        <v/>
      </c>
      <c r="C27" s="10">
        <f>MIN(B8:B10)</f>
        <v/>
      </c>
      <c r="D27" s="10">
        <f>MAX(B8:B10)</f>
        <v/>
      </c>
      <c r="E27" s="10">
        <f>STDEV(B8:B10)</f>
        <v/>
      </c>
    </row>
    <row r="28">
      <c r="A28" s="9" t="n">
        <v>20</v>
      </c>
      <c r="B28" s="10">
        <f>AVERAGE(B11:B13)</f>
        <v/>
      </c>
      <c r="C28" s="10">
        <f>MIN(B11:B13)</f>
        <v/>
      </c>
      <c r="D28" s="10">
        <f>MAX(B11:B13)</f>
        <v/>
      </c>
      <c r="E28" s="10">
        <f>STDEV(B11:B13)</f>
        <v/>
      </c>
    </row>
    <row r="29">
      <c r="A29" s="9" t="n">
        <v>50</v>
      </c>
      <c r="B29" s="10">
        <f>AVERAGE(B14:B16)</f>
        <v/>
      </c>
      <c r="C29" s="10">
        <f>MIN(B14:B16)</f>
        <v/>
      </c>
      <c r="D29" s="10">
        <f>MAX(B14:B16)</f>
        <v/>
      </c>
      <c r="E29" s="10">
        <f>STDEV(B14:B16)</f>
        <v/>
      </c>
    </row>
    <row r="30">
      <c r="A30" s="9" t="n">
        <v>100</v>
      </c>
      <c r="B30" s="10">
        <f>AVERAGE(B17:B19)</f>
        <v/>
      </c>
      <c r="C30" s="10">
        <f>MIN(B17:B19)</f>
        <v/>
      </c>
      <c r="D30" s="10">
        <f>MAX(B17:B19)</f>
        <v/>
      </c>
      <c r="E30" s="10">
        <f>STDEV(B17:B19)</f>
        <v/>
      </c>
    </row>
    <row r="31">
      <c r="A31" s="9" t="n">
        <v>1000</v>
      </c>
      <c r="B31" s="10">
        <f>AVERAGE(B20:B22)</f>
        <v/>
      </c>
      <c r="C31" s="10">
        <f>MIN(B20:B22)</f>
        <v/>
      </c>
      <c r="D31" s="10">
        <f>MAX(B20:B22)</f>
        <v/>
      </c>
      <c r="E31" s="10">
        <f>STDEV(B20:B22)</f>
        <v/>
      </c>
    </row>
  </sheetData>
  <mergeCells count="3">
    <mergeCell ref="A24:F24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8" customWidth="1" min="4" max="4"/>
    <col width="14" customWidth="1" min="5" max="5"/>
  </cols>
  <sheetData>
    <row r="1" ht="22" customHeight="1">
      <c r="A1" s="1" t="inlineStr">
        <is>
          <t>Expérience 2 – Passage à l'échelle sur le fanout</t>
        </is>
      </c>
    </row>
    <row r="2" ht="16" customHeight="1">
      <c r="A2" s="2" t="inlineStr">
        <is>
          <t>1 000 utilisateurs · 100 posts/user · 50 users simultanés · 3 runs par niveau</t>
        </is>
      </c>
    </row>
    <row r="3" ht="8" customHeight="1"/>
    <row r="4" ht="18" customHeight="1">
      <c r="A4" s="3" t="inlineStr">
        <is>
          <t>Followees</t>
        </is>
      </c>
      <c r="B4" s="3" t="inlineStr">
        <is>
          <t>Temps moyen (ms)</t>
        </is>
      </c>
      <c r="C4" s="3" t="inlineStr">
        <is>
          <t>Run</t>
        </is>
      </c>
      <c r="D4" s="3" t="inlineStr">
        <is>
          <t>Échecs</t>
        </is>
      </c>
      <c r="E4" s="3" t="inlineStr">
        <is>
          <t>NB instances</t>
        </is>
      </c>
    </row>
    <row r="5" ht="16" customHeight="1">
      <c r="A5" s="4" t="n">
        <v>20</v>
      </c>
      <c r="B5" s="5" t="n">
        <v>145.9</v>
      </c>
      <c r="C5" s="4" t="n">
        <v>1</v>
      </c>
      <c r="D5" s="4" t="n">
        <v>0</v>
      </c>
      <c r="E5" s="11" t="n">
        <v>0</v>
      </c>
    </row>
    <row r="6" ht="16" customHeight="1">
      <c r="A6" s="4" t="n">
        <v>20</v>
      </c>
      <c r="B6" s="5" t="n">
        <v>173.5</v>
      </c>
      <c r="C6" s="4" t="n">
        <v>2</v>
      </c>
      <c r="D6" s="4" t="n">
        <v>0</v>
      </c>
      <c r="E6" s="4" t="n">
        <v>4</v>
      </c>
    </row>
    <row r="7" ht="16" customHeight="1">
      <c r="A7" s="4" t="n">
        <v>20</v>
      </c>
      <c r="B7" s="5" t="n">
        <v>150.8</v>
      </c>
      <c r="C7" s="4" t="n">
        <v>3</v>
      </c>
      <c r="D7" s="4" t="n">
        <v>0</v>
      </c>
      <c r="E7" s="4" t="n">
        <v>8</v>
      </c>
    </row>
    <row r="8" ht="16" customHeight="1">
      <c r="A8" s="4" t="n">
        <v>40</v>
      </c>
      <c r="B8" s="5" t="n">
        <v>2112.5</v>
      </c>
      <c r="C8" s="4" t="n">
        <v>1</v>
      </c>
      <c r="D8" s="4" t="n">
        <v>0</v>
      </c>
      <c r="E8" s="4" t="n">
        <v>16</v>
      </c>
    </row>
    <row r="9" ht="16" customHeight="1">
      <c r="A9" s="4" t="n">
        <v>40</v>
      </c>
      <c r="B9" s="5" t="n">
        <v>2109.4</v>
      </c>
      <c r="C9" s="4" t="n">
        <v>2</v>
      </c>
      <c r="D9" s="4" t="n">
        <v>0</v>
      </c>
      <c r="E9" s="4" t="n">
        <v>16</v>
      </c>
    </row>
    <row r="10" ht="16" customHeight="1">
      <c r="A10" s="4" t="n">
        <v>40</v>
      </c>
      <c r="B10" s="5" t="n">
        <v>1742</v>
      </c>
      <c r="C10" s="4" t="n">
        <v>3</v>
      </c>
      <c r="D10" s="4" t="n">
        <v>0</v>
      </c>
      <c r="E10" s="4" t="n">
        <v>21</v>
      </c>
    </row>
    <row r="11" ht="16" customHeight="1">
      <c r="A11" s="4" t="n">
        <v>60</v>
      </c>
      <c r="B11" s="5" t="n">
        <v>2501.5</v>
      </c>
      <c r="C11" s="4" t="n">
        <v>1</v>
      </c>
      <c r="D11" s="4" t="n">
        <v>0</v>
      </c>
      <c r="E11" s="4" t="n">
        <v>21</v>
      </c>
    </row>
    <row r="12" ht="16" customHeight="1">
      <c r="A12" s="4" t="n">
        <v>60</v>
      </c>
      <c r="B12" s="5" t="n">
        <v>2575.3</v>
      </c>
      <c r="C12" s="4" t="n">
        <v>2</v>
      </c>
      <c r="D12" s="4" t="n">
        <v>0</v>
      </c>
      <c r="E12" s="4" t="n">
        <v>20</v>
      </c>
    </row>
    <row r="13" ht="16" customHeight="1">
      <c r="A13" s="4" t="n">
        <v>60</v>
      </c>
      <c r="B13" s="5" t="n">
        <v>2714.8</v>
      </c>
      <c r="C13" s="4" t="n">
        <v>3</v>
      </c>
      <c r="D13" s="4" t="n">
        <v>0</v>
      </c>
      <c r="E13" s="4" t="n">
        <v>20</v>
      </c>
    </row>
    <row r="15" ht="20" customHeight="1">
      <c r="A15" s="8" t="inlineStr">
        <is>
          <t>Moyennes par niveau de fanout</t>
        </is>
      </c>
    </row>
    <row r="16">
      <c r="A16" s="3" t="inlineStr">
        <is>
          <t>Followees</t>
        </is>
      </c>
      <c r="B16" s="3" t="inlineStr">
        <is>
          <t>Moy. (ms)</t>
        </is>
      </c>
      <c r="C16" s="3" t="inlineStr">
        <is>
          <t>Min (ms)</t>
        </is>
      </c>
      <c r="D16" s="3" t="inlineStr">
        <is>
          <t>Max (ms)</t>
        </is>
      </c>
      <c r="E16" s="3" t="inlineStr">
        <is>
          <t>Écart-type (ms)</t>
        </is>
      </c>
    </row>
    <row r="17">
      <c r="A17" s="9" t="n">
        <v>20</v>
      </c>
      <c r="B17" s="10">
        <f>AVERAGE(B5:B7)</f>
        <v/>
      </c>
      <c r="C17" s="10">
        <f>MIN(B5:B7)</f>
        <v/>
      </c>
      <c r="D17" s="10">
        <f>MAX(B5:B7)</f>
        <v/>
      </c>
      <c r="E17" s="10">
        <f>STDEV(B5:B7)</f>
        <v/>
      </c>
    </row>
    <row r="18">
      <c r="A18" s="9" t="n">
        <v>40</v>
      </c>
      <c r="B18" s="10">
        <f>AVERAGE(B8:B10)</f>
        <v/>
      </c>
      <c r="C18" s="10">
        <f>MIN(B8:B10)</f>
        <v/>
      </c>
      <c r="D18" s="10">
        <f>MAX(B8:B10)</f>
        <v/>
      </c>
      <c r="E18" s="10">
        <f>STDEV(B8:B10)</f>
        <v/>
      </c>
    </row>
    <row r="19">
      <c r="A19" s="9" t="n">
        <v>60</v>
      </c>
      <c r="B19" s="10">
        <f>AVERAGE(B11:B13)</f>
        <v/>
      </c>
      <c r="C19" s="10">
        <f>MIN(B11:B13)</f>
        <v/>
      </c>
      <c r="D19" s="10">
        <f>MAX(B11:B13)</f>
        <v/>
      </c>
      <c r="E19" s="10">
        <f>STDEV(B11:B13)</f>
        <v/>
      </c>
    </row>
  </sheetData>
  <mergeCells count="3">
    <mergeCell ref="A2:E2"/>
    <mergeCell ref="A15:E15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22" customHeight="1">
      <c r="A1" s="1" t="inlineStr">
        <is>
          <t>Résumé – TinyInsta Benchmark (GCP App Engine + Datastore)</t>
        </is>
      </c>
    </row>
    <row r="2">
      <c r="A2" s="2" t="inlineStr">
        <is>
          <t>Projet MIAGE Cloud · 2026</t>
        </is>
      </c>
    </row>
    <row r="3" ht="10" customHeight="1"/>
    <row r="4">
      <c r="A4" s="8" t="inlineStr">
        <is>
          <t>Expérience 1 – Concurrence  (1000 users, 50 posts/user, 20 follows)</t>
        </is>
      </c>
    </row>
    <row r="5">
      <c r="A5" s="3" t="inlineStr">
        <is>
          <t>Users simultanés</t>
        </is>
      </c>
      <c r="B5" s="3" t="inlineStr">
        <is>
          <t>Moy. (ms)</t>
        </is>
      </c>
      <c r="C5" s="3" t="inlineStr">
        <is>
          <t>Min (ms)</t>
        </is>
      </c>
      <c r="D5" s="3" t="inlineStr">
        <is>
          <t>Max (ms)</t>
        </is>
      </c>
      <c r="E5" s="3" t="inlineStr">
        <is>
          <t>NB instances</t>
        </is>
      </c>
    </row>
    <row r="6">
      <c r="A6" s="4" t="n">
        <v>1</v>
      </c>
      <c r="B6" s="5" t="n">
        <v>196</v>
      </c>
      <c r="C6" s="5" t="n">
        <v>170.3</v>
      </c>
      <c r="D6" s="5" t="n">
        <v>230.7</v>
      </c>
      <c r="E6" s="6" t="inlineStr">
        <is>
          <t>N/A</t>
        </is>
      </c>
    </row>
    <row r="7">
      <c r="A7" s="4" t="n">
        <v>10</v>
      </c>
      <c r="B7" s="5" t="n">
        <v>367.4</v>
      </c>
      <c r="C7" s="5" t="n">
        <v>186.1</v>
      </c>
      <c r="D7" s="5" t="n">
        <v>538</v>
      </c>
      <c r="E7" s="6" t="inlineStr">
        <is>
          <t>N/A</t>
        </is>
      </c>
    </row>
    <row r="8">
      <c r="A8" s="4" t="n">
        <v>20</v>
      </c>
      <c r="B8" s="5" t="n">
        <v>84</v>
      </c>
      <c r="C8" s="5" t="n">
        <v>82</v>
      </c>
      <c r="D8" s="5" t="n">
        <v>86</v>
      </c>
      <c r="E8" s="6" t="inlineStr">
        <is>
          <t>N/A</t>
        </is>
      </c>
    </row>
    <row r="9">
      <c r="A9" s="4" t="n">
        <v>50</v>
      </c>
      <c r="B9" s="5" t="n">
        <v>233.3</v>
      </c>
      <c r="C9" s="5" t="n">
        <v>124.4</v>
      </c>
      <c r="D9" s="5" t="n">
        <v>290.6</v>
      </c>
      <c r="E9" s="6" t="inlineStr">
        <is>
          <t>N/A</t>
        </is>
      </c>
    </row>
    <row r="10">
      <c r="A10" s="4" t="n">
        <v>100</v>
      </c>
      <c r="B10" s="5" t="n">
        <v>118.1</v>
      </c>
      <c r="C10" s="5" t="n">
        <v>95.40000000000001</v>
      </c>
      <c r="D10" s="5" t="n">
        <v>144.6</v>
      </c>
      <c r="E10" s="6" t="inlineStr">
        <is>
          <t>N/A</t>
        </is>
      </c>
    </row>
    <row r="11">
      <c r="A11" s="4" t="n">
        <v>1000</v>
      </c>
      <c r="B11" s="5" t="n">
        <v>1569.8</v>
      </c>
      <c r="C11" s="5" t="n">
        <v>1260.2</v>
      </c>
      <c r="D11" s="5" t="n">
        <v>1857.1</v>
      </c>
      <c r="E11" s="6" t="inlineStr">
        <is>
          <t>N/A</t>
        </is>
      </c>
    </row>
    <row r="13" ht="10" customHeight="1"/>
    <row r="14">
      <c r="A14" s="8" t="inlineStr">
        <is>
          <t>Expérience 2 – Fanout  (1000 users, 100 posts/user, 50 users simultanés)</t>
        </is>
      </c>
    </row>
    <row r="15">
      <c r="A15" s="3" t="inlineStr">
        <is>
          <t>Followees</t>
        </is>
      </c>
      <c r="B15" s="3" t="inlineStr">
        <is>
          <t>Moy. (ms)</t>
        </is>
      </c>
      <c r="C15" s="3" t="inlineStr">
        <is>
          <t>Min (ms)</t>
        </is>
      </c>
      <c r="D15" s="3" t="inlineStr">
        <is>
          <t>Max (ms)</t>
        </is>
      </c>
      <c r="E15" s="3" t="inlineStr">
        <is>
          <t>Moy. NB instances</t>
        </is>
      </c>
    </row>
    <row r="16">
      <c r="A16" s="4" t="n">
        <v>20</v>
      </c>
      <c r="B16" s="5" t="n">
        <v>156.7</v>
      </c>
      <c r="C16" s="5" t="n">
        <v>145.9</v>
      </c>
      <c r="D16" s="5" t="n">
        <v>173.5</v>
      </c>
      <c r="E16" s="4" t="n">
        <v>4</v>
      </c>
    </row>
    <row r="17">
      <c r="A17" s="4" t="n">
        <v>40</v>
      </c>
      <c r="B17" s="5" t="n">
        <v>1988</v>
      </c>
      <c r="C17" s="5" t="n">
        <v>1742</v>
      </c>
      <c r="D17" s="5" t="n">
        <v>2112.5</v>
      </c>
      <c r="E17" s="4" t="n">
        <v>18</v>
      </c>
    </row>
    <row r="18">
      <c r="A18" s="4" t="n">
        <v>60</v>
      </c>
      <c r="B18" s="5" t="n">
        <v>2597.2</v>
      </c>
      <c r="C18" s="5" t="n">
        <v>2501.5</v>
      </c>
      <c r="D18" s="5" t="n">
        <v>2714.8</v>
      </c>
      <c r="E18" s="4" t="n">
        <v>20</v>
      </c>
    </row>
  </sheetData>
  <mergeCells count="4">
    <mergeCell ref="A2:E2"/>
    <mergeCell ref="A1:E1"/>
    <mergeCell ref="A4:E4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2026-04-30T06:04:18Z</dcterms:created>
  <dcterms:modified xsi:type="dcterms:W3CDTF">2026-04-30T06:04:18Z</dcterms:modified>
</cp:coreProperties>
</file>